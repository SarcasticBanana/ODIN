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500" firstSheet="0" activeTab="4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tation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'Assumptions'!$A$4:$G$29</definedName>
    <definedName name="_xlnm.Print_Titles" localSheetId="0">'Assumptions'!$4:$4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0.0000000000"/>
    <numFmt numFmtId="165" formatCode="0.000000E+00"/>
    <numFmt numFmtId="166" formatCode="0.0"/>
    <numFmt numFmtId="167" formatCode="0.000E+00"/>
    <numFmt numFmtId="168" formatCode="0.0000"/>
    <numFmt numFmtId="169" formatCode="0.000"/>
    <numFmt numFmtId="170" formatCode="0.000000000E+00"/>
    <numFmt numFmtId="171" formatCode="0E+00"/>
  </numFmts>
  <fonts count="13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charset val="1"/>
      <b val="1"/>
      <sz val="11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0" borderId="0" pivotButton="0" quotePrefix="0" xfId="0"/>
    <xf numFmtId="166" fontId="4" fillId="0" borderId="1" applyAlignment="1" pivotButton="0" quotePrefix="0" xfId="0">
      <alignment vertical="top" wrapText="1"/>
    </xf>
    <xf numFmtId="0" fontId="7" fillId="0" borderId="0" pivotButton="0" quotePrefix="0" xfId="0"/>
    <xf numFmtId="1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1" fontId="4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vertical="center" wrapText="1"/>
    </xf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8" fontId="12" fillId="0" borderId="2" applyAlignment="1" pivotButton="0" quotePrefix="0" xfId="0">
      <alignment horizontal="right" vertical="top"/>
    </xf>
    <xf numFmtId="169" fontId="12" fillId="0" borderId="2" applyAlignment="1" pivotButton="0" quotePrefix="0" xfId="0">
      <alignment horizontal="right" vertical="top"/>
    </xf>
    <xf numFmtId="170" fontId="12" fillId="0" borderId="2" applyAlignment="1" pivotButton="0" quotePrefix="0" xfId="0">
      <alignment horizontal="right" vertical="top"/>
    </xf>
    <xf numFmtId="1" fontId="12" fillId="0" borderId="2" applyAlignment="1" pivotButton="0" quotePrefix="0" xfId="0">
      <alignment horizontal="right" vertical="top"/>
    </xf>
    <xf numFmtId="166" fontId="12" fillId="0" borderId="2" applyAlignment="1" pivotButton="0" quotePrefix="0" xfId="0">
      <alignment horizontal="right" vertical="top"/>
    </xf>
    <xf numFmtId="164" fontId="12" fillId="0" borderId="2" applyAlignment="1" pivotButton="0" quotePrefix="0" xfId="0">
      <alignment horizontal="right" vertical="top"/>
    </xf>
    <xf numFmtId="165" fontId="12" fillId="0" borderId="2" applyAlignment="1" pivotButton="0" quotePrefix="0" xfId="0">
      <alignment horizontal="right" vertical="top"/>
    </xf>
    <xf numFmtId="49" fontId="12" fillId="0" borderId="2" applyAlignment="1" pivotButton="0" quotePrefix="0" xfId="0">
      <alignment horizontal="left" vertical="top"/>
    </xf>
    <xf numFmtId="0" fontId="12" fillId="0" borderId="2" applyAlignment="1" pivotButton="0" quotePrefix="0" xfId="0">
      <alignment horizontal="right" vertical="top"/>
    </xf>
    <xf numFmtId="171" fontId="12" fillId="0" borderId="2" applyAlignment="1" pivotButton="0" quotePrefix="0" xfId="0">
      <alignment horizontal="right" vertical="top"/>
    </xf>
    <xf numFmtId="166" fontId="11" fillId="0" borderId="2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baseColWidth="8" defaultColWidth="8.68359375" defaultRowHeight="14.4"/>
  <cols>
    <col width="6" customWidth="1" min="1" max="1"/>
    <col width="15" customWidth="1" min="2" max="2"/>
    <col width="46" customWidth="1" min="3" max="3"/>
    <col width="26" customWidth="1" min="4" max="4"/>
    <col width="40" customWidth="1" min="5" max="5"/>
    <col width="50" customWidth="1" min="6" max="6"/>
    <col width="36" customWidth="1" min="7" max="7"/>
  </cols>
  <sheetData>
    <row r="1" ht="17.7" customHeight="1">
      <c r="A1" s="1" t="inlineStr">
        <is>
          <t>ODIN-Model drag: assumptions</t>
        </is>
      </c>
    </row>
    <row r="2">
      <c r="A2" s="2" t="n"/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Assumption</t>
        </is>
      </c>
      <c r="D4" s="3" t="inlineStr">
        <is>
          <t>Value in the model</t>
        </is>
      </c>
      <c r="E4" s="3" t="inlineStr">
        <is>
          <t>Basis or source</t>
        </is>
      </c>
      <c r="F4" s="3" t="inlineStr">
        <is>
          <t>Effect on results</t>
        </is>
      </c>
      <c r="G4" s="3" t="inlineStr">
        <is>
          <t>How to relax or check</t>
        </is>
      </c>
    </row>
    <row r="5" ht="49.2" customHeight="1">
      <c r="A5" s="4" t="inlineStr">
        <is>
          <t>D1</t>
        </is>
      </c>
      <c r="B5" s="4" t="inlineStr">
        <is>
          <t>Atmosphere model</t>
        </is>
      </c>
      <c r="C5" s="4" t="inlineStr">
        <is>
          <t>Density comes from the Jacchia 1977 (J77) static model as coded in j77sri.m (D. L. Huestis, SRI International; MATLAB port by M. Mahooti, File Exchange 54912 v1.0.0), called once per run by dragTable.m.</t>
        </is>
      </c>
      <c r="D5" s="4" t="inlineStr">
        <is>
          <t>j77sri.m unchanged, in external/j77</t>
        </is>
      </c>
      <c r="E5" s="4" t="inlineStr">
        <is>
          <t>Model chosen by Alessandro. j77sri.m reproduces its own shipped reference output (t1000.out, T∞ = 1000 K) at all 126 printed rows.</t>
        </is>
      </c>
      <c r="F5" s="4" t="inlineStr">
        <is>
          <t>J77 at F10.7 150 is 1 to 6% below the NRLMSISE-00 global mean from 400 to 1000 km (Checks, section 2). Jacchia models scatter by about 15% against satellite drag data.</t>
        </is>
      </c>
      <c r="G5" s="4" t="inlineStr">
        <is>
          <t>Swap the density source inside dragTable.m (for example NRLMSISE-00 or JB2008); eom.m does not change.</t>
        </is>
      </c>
    </row>
    <row r="6" ht="49.2" customHeight="1">
      <c r="A6" s="4" t="inlineStr">
        <is>
          <t>D2</t>
        </is>
      </c>
      <c r="B6" s="4" t="inlineStr">
        <is>
          <t>Atmosphere model</t>
        </is>
      </c>
      <c r="C6" s="4" t="inlineStr">
        <is>
          <t>Static atmosphere: one exospheric temperature for the whole globe and the whole run, so no day and night (diurnal) density bulge.</t>
        </is>
      </c>
      <c r="D6" s="4" t="inlineStr">
        <is>
          <t>T∞ constant</t>
        </is>
      </c>
      <c r="E6" s="4" t="inlineStr">
        <is>
          <t>J77 static profiles depend on T∞ only.</t>
        </is>
      </c>
      <c r="F6" s="4" t="inlineStr">
        <is>
          <t>NRLMSISE-00 at 650 km: equatorial density 6.8 times higher at 15:00 than at 05:00 local time. On 15 Sep 2026 the orbit mean is 0.94 of the global mean for LTAN 18:00 and 0.86 for LTAN 10:30.</t>
        </is>
      </c>
      <c r="G6" s="4" t="inlineStr">
        <is>
          <t>Add the J77 diurnal variation (eqs. 24 to 27) with local time and latitude, or use NRLMSISE-00.</t>
        </is>
      </c>
    </row>
    <row r="7" ht="49.2" customHeight="1">
      <c r="A7" s="4" t="inlineStr">
        <is>
          <t>D3</t>
        </is>
      </c>
      <c r="B7" s="4" t="inlineStr">
        <is>
          <t>Atmosphere model</t>
        </is>
      </c>
      <c r="C7" s="4" t="inlineStr">
        <is>
          <t>No semiannual or seasonal-latitudinal variation.</t>
        </is>
      </c>
      <c r="D7" s="4" t="inlineStr">
        <is>
          <t>None</t>
        </is>
      </c>
      <c r="E7" s="4" t="inlineStr">
        <is>
          <t>Not part of the static J77 profiles.</t>
        </is>
      </c>
      <c r="F7" s="4" t="inlineStr">
        <is>
          <t>NRLMSISE-00 global mean at 650 km and fixed F10.7 150 varies by a factor of 1.76 between its lowest and highest days from Sep 2026 to Sep 2027; the annual mean is within 1% of the 15 Sep value.</t>
        </is>
      </c>
      <c r="G7" s="4" t="inlineStr">
        <is>
          <t>Add the J77 semiannual term, or use a time-varying model.</t>
        </is>
      </c>
    </row>
    <row r="8" ht="36.9" customHeight="1">
      <c r="A8" s="4" t="inlineStr">
        <is>
          <t>D4</t>
        </is>
      </c>
      <c r="B8" s="4" t="inlineStr">
        <is>
          <t>Atmosphere model</t>
        </is>
      </c>
      <c r="C8" s="4" t="inlineStr">
        <is>
          <t>No geomagnetic heating.</t>
        </is>
      </c>
      <c r="D8" s="4" t="inlineStr">
        <is>
          <t>Kp = 0</t>
        </is>
      </c>
      <c r="E8" s="4" t="inlineStr">
        <is>
          <t>J77 eq. 20 gives T∞ at Kp = 0.</t>
        </is>
      </c>
      <c r="F8" s="4" t="inlineStr">
        <is>
          <t>NRLMSISE-00 at 650 km relative to Ap 4: Ap 7 +8%, Ap 15 +24%, Ap 27 +39%, Ap 50 +59%, Ap 100 +97%. Storms are short but large.</t>
        </is>
      </c>
      <c r="G8" s="4" t="inlineStr">
        <is>
          <t>Add the J77 geomagnetic term (eq. 31) with measured or forecast Kp.</t>
        </is>
      </c>
    </row>
    <row r="9" ht="49.2" customHeight="1">
      <c r="A9" s="4" t="inlineStr">
        <is>
          <t>D5</t>
        </is>
      </c>
      <c r="B9" s="4" t="inlineStr">
        <is>
          <t>Solar activity</t>
        </is>
      </c>
      <c r="C9" s="4" t="inlineStr">
        <is>
          <t>Exospheric temperature from J77 eq. 20 with the daily flux equal to the 81-day mean: T∞ = 5.48 F^0.8 + 101.8 F̄^0.4, the mean of the global diurnal extremes.</t>
        </is>
      </c>
      <c r="D9" s="4" t="inlineStr">
        <is>
          <t>cfg.drag.F107 = 150 sfu, giving T∞ = 1057.2 K</t>
        </is>
      </c>
      <c r="E9" s="4" t="inlineStr">
        <is>
          <t>J77 Table 5. dragTable.m reproduces all six tabulated values exactly (Checks, section 1).</t>
        </is>
      </c>
      <c r="F9" s="4" t="inlineStr">
        <is>
          <t>Largest single sensitivity. F10.7 107 (CelesTrak forecast mean for Sep 2026 to Sep 2027) gives 0.31 times the density at 650 km. T∞ ±50 K gives 0.72 to 1.36 times; ±100 K gives 0.51 to 1.80 times.</t>
        </is>
      </c>
      <c r="G9" s="4" t="inlineStr">
        <is>
          <t>Bracket with low and high F10.7, or read daily values from a space weather file.</t>
        </is>
      </c>
    </row>
    <row r="10" ht="36.9" customHeight="1">
      <c r="A10" s="4" t="inlineStr">
        <is>
          <t>D6</t>
        </is>
      </c>
      <c r="B10" s="4" t="inlineStr">
        <is>
          <t>Solar activity</t>
        </is>
      </c>
      <c r="C10" s="4" t="inlineStr">
        <is>
          <t>Solar flux constant for the run: no solar-cycle trend, no 27-day rotation, no day-to-day change and no 1.26-day response lag.</t>
        </is>
      </c>
      <c r="D10" s="4" t="inlineStr">
        <is>
          <t>150 sfu all year</t>
        </is>
      </c>
      <c r="E10" s="4" t="inlineStr">
        <is>
          <t>Simple bounding case chosen with Alessandro; the forecast mean is lower.</t>
        </is>
      </c>
      <c r="F10" s="4" t="inlineStr">
        <is>
          <t>In the year-long high-fidelity run the CelesTrak forecast gave 2.0 km of drag decay at 650 km and 30 kg/m², against 4.9 km at a constant 150.</t>
        </is>
      </c>
      <c r="G10" s="4" t="inlineStr">
        <is>
          <t>Time-varying T∞ from SW-All.csv (kept locally in validation/results).</t>
        </is>
      </c>
    </row>
    <row r="11" ht="49.2" customHeight="1">
      <c r="A11" s="4" t="inlineStr">
        <is>
          <t>D7</t>
        </is>
      </c>
      <c r="B11" s="4" t="inlineStr">
        <is>
          <t>J77 internals</t>
        </is>
      </c>
      <c r="C11" s="4" t="inlineStr">
        <is>
          <t>Fixed lower boundary at 90 km: 188 K with zero gradient, number density 7.145e13 per cm³ (3.43e-6 kg/m³) and standard composition; mixing to 100 km, diffusive equilibrium above it, thermal diffusion for helium.</t>
        </is>
      </c>
      <c r="D11" s="4" t="inlineStr">
        <is>
          <t>Built into j77sri.m</t>
        </is>
      </c>
      <c r="E11" s="4" t="inlineStr">
        <is>
          <t>J77, SAO Special Report 375.</t>
        </is>
      </c>
      <c r="F11" s="4" t="inlineStr">
        <is>
          <t>Lower-atmosphere variability is not represented. At ODIN heights the density is set by T∞.</t>
        </is>
      </c>
      <c r="G11" s="4" t="inlineStr">
        <is>
          <t>None needed for 600 to 1000 km.</t>
        </is>
      </c>
    </row>
    <row r="12" ht="36.9" customHeight="1">
      <c r="A12" s="4" t="inlineStr">
        <is>
          <t>D8</t>
        </is>
      </c>
      <c r="B12" s="4" t="inlineStr">
        <is>
          <t>J77 internals</t>
        </is>
      </c>
      <c r="C12" s="4" t="inlineStr">
        <is>
          <t>Temperature profile from the J77 arctangent forms below and above 125 km, with Tx = 188 + 110.5 asinh(0.0045 (T∞ − 188)) and Gx = 1.9 (Tx − 188)/35.</t>
        </is>
      </c>
      <c r="D12" s="4" t="inlineStr">
        <is>
          <t>Built into j77sri.m</t>
        </is>
      </c>
      <c r="E12" s="4" t="inlineStr">
        <is>
          <t>J77 eqs. 1 to 4. Gx is 12.04 K/km at T∞ = 1000 K, as in J77 Table 2.</t>
        </is>
      </c>
      <c r="F12" s="4" t="inlineStr">
        <is>
          <t>Covered by D1.</t>
        </is>
      </c>
      <c r="G12" s="4" t="inlineStr">
        <is>
          <t>None.</t>
        </is>
      </c>
    </row>
    <row r="13" ht="24.6" customHeight="1">
      <c r="A13" s="4" t="inlineStr">
        <is>
          <t>D9</t>
        </is>
      </c>
      <c r="B13" s="4" t="inlineStr">
        <is>
          <t>J77 internals</t>
        </is>
      </c>
      <c r="C13" s="4" t="inlineStr">
        <is>
          <t>Diffusion equations integrated upward with a 1 km trapezoidal step.</t>
        </is>
      </c>
      <c r="D13" s="4" t="inlineStr">
        <is>
          <t>1 km</t>
        </is>
      </c>
      <c r="E13" s="4" t="inlineStr">
        <is>
          <t>j77sri.m.</t>
        </is>
      </c>
      <c r="F13" s="4" t="inlineStr">
        <is>
          <t>Density within 0.013% of a 0.02 km step between 400 and 950 km.</t>
        </is>
      </c>
      <c r="G13" s="4" t="inlineStr">
        <is>
          <t>None needed.</t>
        </is>
      </c>
    </row>
    <row r="14" ht="36.9" customHeight="1">
      <c r="A14" s="4" t="inlineStr">
        <is>
          <t>D10</t>
        </is>
      </c>
      <c r="B14" s="4" t="inlineStr">
        <is>
          <t>J77 internals</t>
        </is>
      </c>
      <c r="C14" s="4" t="inlineStr">
        <is>
          <t>Hydrogen from the J77 flux formulas (needs a profile top of 500 km or more). The hydrogen routine was checked only against the code's own shipped output.</t>
        </is>
      </c>
      <c r="D14" s="4" t="inlineStr">
        <is>
          <t>Profile computed to 2500 km</t>
        </is>
      </c>
      <c r="E14" s="4" t="inlineStr">
        <is>
          <t>j77sri.m.</t>
        </is>
      </c>
      <c r="F14" s="4" t="inlineStr">
        <is>
          <t>Hydrogen is about 0.3% of the mass density at 650 km, so it does not matter for drag below about 1000 km.</t>
        </is>
      </c>
      <c r="G14" s="4" t="inlineStr">
        <is>
          <t>Compare with J77 Table 10 if drag above 1500 km matters.</t>
        </is>
      </c>
    </row>
    <row r="15" ht="49.2" customHeight="1">
      <c r="A15" s="4" t="inlineStr">
        <is>
          <t>D11</t>
        </is>
      </c>
      <c r="B15" s="4" t="inlineStr">
        <is>
          <t>Range</t>
        </is>
      </c>
      <c r="C15" s="4" t="inlineStr">
        <is>
          <t>The table covers 90 to 2500 km on the 1 km grid of j77sri.m. Outside it eom.m stops with an error instead of extrapolating. The US Standard Atmosphere 1976 part of j77sri.m below 90 km is not used.</t>
        </is>
      </c>
      <c r="D15" s="4" t="inlineStr">
        <is>
          <t>90 to 2500 km</t>
        </is>
      </c>
      <c r="E15" s="4" t="inlineStr">
        <is>
          <t>J77 validity range.</t>
        </is>
      </c>
      <c r="F15" s="4" t="inlineStr">
        <is>
          <t>A decaying orbit cannot be followed below 90 km.</t>
        </is>
      </c>
      <c r="G15" s="4" t="inlineStr">
        <is>
          <t>Extend the table to 0 km with the US76 part of j77sri.m if re-entry matters.</t>
        </is>
      </c>
    </row>
    <row r="16" ht="24.6" customHeight="1">
      <c r="A16" s="4" t="inlineStr">
        <is>
          <t>D12</t>
        </is>
      </c>
      <c r="B16" s="4" t="inlineStr">
        <is>
          <t>Interpolation</t>
        </is>
      </c>
      <c r="C16" s="4" t="inlineStr">
        <is>
          <t>Log density interpolated with pchip (griddedInterpolant) on the 1 km grid.</t>
        </is>
      </c>
      <c r="D16" s="4" t="inlineStr">
        <is>
          <t>pchip on ln ρ</t>
        </is>
      </c>
      <c r="E16" s="4" t="inlineStr">
        <is>
          <t>ln ρ is smooth in height.</t>
        </is>
      </c>
      <c r="F16" s="4" t="inlineStr">
        <is>
          <t>Rebuilt from a 2 km grid the error stays below 1.1e-9 between 300 and 1200 km, so the 1 km table adds no practical error.</t>
        </is>
      </c>
      <c r="G16" s="4" t="inlineStr">
        <is>
          <t>None needed.</t>
        </is>
      </c>
    </row>
    <row r="17" ht="36.9" customHeight="1">
      <c r="A17" s="4" t="inlineStr">
        <is>
          <t>D13</t>
        </is>
      </c>
      <c r="B17" s="4" t="inlineStr">
        <is>
          <t>Geometry</t>
        </is>
      </c>
      <c r="C17" s="4" t="inlineStr">
        <is>
          <t>Height above the WGS84 ellipsoid to first order in flattening, h = |r| − Re (1 − f sin²φ), with φ the geocentric latitude.</t>
        </is>
      </c>
      <c r="D17" s="4" t="inlineStr">
        <is>
          <t>f = 1/298.257223563</t>
        </is>
      </c>
      <c r="E17" s="4" t="inlineStr">
        <is>
          <t>J77 heights are above the surface, which is 21.4 km lower at the poles than at the equator.</t>
        </is>
      </c>
      <c r="F17" s="4" t="inlineStr">
        <is>
          <t>Using |r| − 6378.137 km instead would overstate density by up to 32% over the poles and by 14.5% on average around a 650 km near-polar orbit.</t>
        </is>
      </c>
      <c r="G17" s="4" t="inlineStr">
        <is>
          <t>Exact geodetic height differs by metres only.</t>
        </is>
      </c>
    </row>
    <row r="18" ht="36.9" customHeight="1">
      <c r="A18" s="4" t="inlineStr">
        <is>
          <t>D14</t>
        </is>
      </c>
      <c r="B18" s="4" t="inlineStr">
        <is>
          <t>Atmosphere motion</t>
        </is>
      </c>
      <c r="C18" s="4" t="inlineStr">
        <is>
          <t>The atmosphere co-rotates rigidly with the Earth; no thermospheric winds.</t>
        </is>
      </c>
      <c r="D18" s="4" t="inlineStr">
        <is>
          <t>ωE = 7.292115e-5 rad/s about the model z axis</t>
        </is>
      </c>
      <c r="E18" s="4" t="inlineStr">
        <is>
          <t>Standard drag assumption.</t>
        </is>
      </c>
      <c r="F18" s="4" t="inlineStr">
        <is>
          <t>Co-rotation raises the relative speed by about 1% (drag by about 2%) for these retrograde orbits. Winds of 100 to 300 m/s would change local drag by roughly 3 to 8%.</t>
        </is>
      </c>
      <c r="G18" s="4" t="inlineStr">
        <is>
          <t>Add a wind model such as HWM14.</t>
        </is>
      </c>
    </row>
    <row r="19" ht="36.9" customHeight="1">
      <c r="A19" s="4" t="inlineStr">
        <is>
          <t>D15</t>
        </is>
      </c>
      <c r="B19" s="4" t="inlineStr">
        <is>
          <t>Atmosphere motion</t>
        </is>
      </c>
      <c r="C19" s="4" t="inlineStr">
        <is>
          <t>The Earth rotation axis is taken as the z axis of the model frame (mean equator of epoch); no precession, nutation or polar motion in the drag.</t>
        </is>
      </c>
      <c r="D19" s="4" t="inlineStr">
        <is>
          <t>Model z axis</t>
        </is>
      </c>
      <c r="E19" s="4" t="inlineStr">
        <is>
          <t>ODIN-Model frame.</t>
        </is>
      </c>
      <c r="F19" s="4" t="inlineStr">
        <is>
          <t>The axis is within 0.37° of the true pole; effect on relative speed below 0.01%.</t>
        </is>
      </c>
      <c r="G19" s="4" t="inlineStr">
        <is>
          <t>None needed.</t>
        </is>
      </c>
    </row>
    <row r="20" ht="36.9" customHeight="1">
      <c r="A20" s="4" t="inlineStr">
        <is>
          <t>D16</t>
        </is>
      </c>
      <c r="B20" s="4" t="inlineStr">
        <is>
          <t>Spacecraft</t>
        </is>
      </c>
      <c r="C20" s="4" t="inlineStr">
        <is>
          <t>Constant mass, no propellant use.</t>
        </is>
      </c>
      <c r="D20" s="4" t="inlineStr">
        <is>
          <t>cfg.drag.mass = 12 kg (placeholder)</t>
        </is>
      </c>
      <c r="E20" s="4" t="inlineStr">
        <is>
          <t>Typical 6U maximum in the CubeSat Design Specification Rev. 14.1, Table 1. No propulsion in the model.</t>
        </is>
      </c>
      <c r="F20" s="4" t="inlineStr">
        <is>
          <t>Decay scales with Cd A/m.</t>
        </is>
      </c>
      <c r="G20" s="4" t="inlineStr">
        <is>
          <t>Use the Structures mass budget.</t>
        </is>
      </c>
    </row>
    <row r="21" ht="36.9" customHeight="1">
      <c r="A21" s="4" t="inlineStr">
        <is>
          <t>D17</t>
        </is>
      </c>
      <c r="B21" s="4" t="inlineStr">
        <is>
          <t>Spacecraft</t>
        </is>
      </c>
      <c r="C21" s="4" t="inlineStr">
        <is>
          <t>Constant drag area, not tied to attitude.</t>
        </is>
      </c>
      <c r="D21" s="4" t="inlineStr">
        <is>
          <t>cfg.drag.area = 0.18 m² (placeholder)</t>
        </is>
      </c>
      <c r="E21" s="4" t="inlineStr">
        <is>
          <t>Chosen with mass and Cd to give 30 kg/m², the high-drag case of the year-long comparison.</t>
        </is>
      </c>
      <c r="F21" s="4" t="inlineStr">
        <is>
          <t>A Sun-pointing array on a dawn-dusk orbit sits close to edge-on to the flow, so the real area, and the drag, may be several times smaller.</t>
        </is>
      </c>
      <c r="G21" s="4" t="inlineStr">
        <is>
          <t>Tie the area to the attitude model once it exists.</t>
        </is>
      </c>
    </row>
    <row r="22" ht="24.6" customHeight="1">
      <c r="A22" s="4" t="inlineStr">
        <is>
          <t>D18</t>
        </is>
      </c>
      <c r="B22" s="4" t="inlineStr">
        <is>
          <t>Spacecraft</t>
        </is>
      </c>
      <c r="C22" s="4" t="inlineStr">
        <is>
          <t>Constant drag coefficient.</t>
        </is>
      </c>
      <c r="D22" s="4" t="inlineStr">
        <is>
          <t>cfg.drag.Cd = 2.2</t>
        </is>
      </c>
      <c r="E22" s="4" t="inlineStr">
        <is>
          <t>Common free-molecular value for compact satellites.</t>
        </is>
      </c>
      <c r="F22" s="4" t="inlineStr">
        <is>
          <t>Real values run from about 2.0 to 2.6 with shape, surface and height, so roughly ±10 to 20% in drag.</t>
        </is>
      </c>
      <c r="G22" s="4" t="inlineStr">
        <is>
          <t>Use a panel method or a fitted Cd.</t>
        </is>
      </c>
    </row>
    <row r="23" ht="24.6" customHeight="1">
      <c r="A23" s="4" t="inlineStr">
        <is>
          <t>D19</t>
        </is>
      </c>
      <c r="B23" s="4" t="inlineStr">
        <is>
          <t>Spacecraft</t>
        </is>
      </c>
      <c r="C23" s="4" t="inlineStr">
        <is>
          <t>Drag acts along −v_rel only: no lift, side force or torque.</t>
        </is>
      </c>
      <c r="D23" s="4" t="inlineStr">
        <is>
          <t>None</t>
        </is>
      </c>
      <c r="E23" s="4" t="inlineStr">
        <is>
          <t>Standard.</t>
        </is>
      </c>
      <c r="F23" s="4" t="inlineStr">
        <is>
          <t>Lift is usually a few percent of drag for compact bodies in free-molecular flow.</t>
        </is>
      </c>
      <c r="G23" s="4" t="inlineStr">
        <is>
          <t>None needed for decay.</t>
        </is>
      </c>
    </row>
    <row r="24" ht="36.9" customHeight="1">
      <c r="A24" s="4" t="inlineStr">
        <is>
          <t>D20</t>
        </is>
      </c>
      <c r="B24" s="4" t="inlineStr">
        <is>
          <t>Dynamics (inherited)</t>
        </is>
      </c>
      <c r="C24" s="4" t="inlineStr">
        <is>
          <t>Gravity is two-body plus J2.</t>
        </is>
      </c>
      <c r="D24" s="4" t="inlineStr">
        <is>
          <t>cfg.use.J2 = true</t>
        </is>
      </c>
      <c r="E24" s="4" t="inlineStr">
        <is>
          <t>ODIN-Model design.</t>
        </is>
      </c>
      <c r="F24" s="4" t="inlineStr">
        <is>
          <t>The full EGM2008 field lowers the lowest altitude by 14 to 16 km over a year through J3 eccentricity growth, which changes the orbit-average density by about 1%.</t>
        </is>
      </c>
      <c r="G24" s="4" t="inlineStr">
        <is>
          <t>Add higher harmonics to eom.m.</t>
        </is>
      </c>
    </row>
    <row r="25" ht="36.9" customHeight="1">
      <c r="A25" s="4" t="inlineStr">
        <is>
          <t>D21</t>
        </is>
      </c>
      <c r="B25" s="4" t="inlineStr">
        <is>
          <t>Dynamics (inherited)</t>
        </is>
      </c>
      <c r="C25" s="4" t="inlineStr">
        <is>
          <t>No solar radiation pressure or third-body gravity.</t>
        </is>
      </c>
      <c r="D25" s="4" t="inlineStr">
        <is>
          <t>cfg.use.srp = false</t>
        </is>
      </c>
      <c r="E25" s="4" t="inlineStr">
        <is>
          <t>ODIN-Model design.</t>
        </is>
      </c>
      <c r="F25" s="4" t="inlineStr">
        <is>
          <t>With the placeholder spacecraft, solar radiation pressure is about as large as drag at 650 km and larger above it, but it mainly changes eccentricity rather than causing decay.</t>
        </is>
      </c>
      <c r="G25" s="4" t="inlineStr">
        <is>
          <t>Add solar radiation pressure to eom.m.</t>
        </is>
      </c>
    </row>
    <row r="26" ht="24.6" customHeight="1">
      <c r="A26" s="4" t="inlineStr">
        <is>
          <t>D22</t>
        </is>
      </c>
      <c r="B26" s="4" t="inlineStr">
        <is>
          <t>Integration (inherited)</t>
        </is>
      </c>
      <c r="C26" s="4" t="inlineStr">
        <is>
          <t>ode45 at RelTol and AbsTol 1e-11, 60 s output grid.</t>
        </is>
      </c>
      <c r="D26" s="4" t="inlineStr">
        <is>
          <t>cfg.ode</t>
        </is>
      </c>
      <c r="E26" s="4" t="inlineStr">
        <is>
          <t>ODIN-Model settings.</t>
        </is>
      </c>
      <c r="F26" s="4" t="inlineStr">
        <is>
          <t>Drag removes energy by design, so the J2 model energy check no longer applies with drag on.</t>
        </is>
      </c>
      <c r="G26" s="4" t="inlineStr">
        <is>
          <t>None.</t>
        </is>
      </c>
    </row>
    <row r="27" ht="24.6" customHeight="1">
      <c r="A27" s="4" t="inlineStr">
        <is>
          <t>D23</t>
        </is>
      </c>
      <c r="B27" s="4" t="inlineStr">
        <is>
          <t>Frame (inherited)</t>
        </is>
      </c>
      <c r="C27" s="4" t="inlineStr">
        <is>
          <t>States in the mean equator and equinox of the epoch (15 Sep 2026 00:00 UTC), treated as inertial.</t>
        </is>
      </c>
      <c r="D27" s="4" t="inlineStr">
        <is>
          <t>cfg.epoch</t>
        </is>
      </c>
      <c r="E27" s="4" t="inlineStr">
        <is>
          <t>ODIN-Model.</t>
        </is>
      </c>
      <c r="F27" s="4" t="inlineStr">
        <is>
          <t>0.37° from GCRF; no effect on drag.</t>
        </is>
      </c>
      <c r="G27" s="4" t="inlineStr">
        <is>
          <t>None.</t>
        </is>
      </c>
    </row>
    <row r="28" ht="36.9" customHeight="1">
      <c r="A28" s="4" t="inlineStr">
        <is>
          <t>D24</t>
        </is>
      </c>
      <c r="B28" s="4" t="inlineStr">
        <is>
          <t>Units</t>
        </is>
      </c>
      <c r="C28" s="4" t="inlineStr">
        <is>
          <t>Integrator in km and km/s; density in kg/m³, area in m², mass in kg; a factor 1e3 converts (kg/m³)(m²/kg)(km/s)² to km/s².</t>
        </is>
      </c>
      <c r="D28" s="4" t="inlineStr">
        <is>
          <t>In accelDrag (eom.m)</t>
        </is>
      </c>
      <c r="E28" s="4" t="inlineStr">
        <is>
          <t>ODIN-Model units.</t>
        </is>
      </c>
      <c r="F28" s="4" t="inlineStr">
        <is>
          <t>Drag acceleration from eom.m equals an independent SI calculation to 7e-9 (Checks, section 3).</t>
        </is>
      </c>
      <c r="G28" s="4" t="inlineStr">
        <is>
          <t>None.</t>
        </is>
      </c>
    </row>
    <row r="29">
      <c r="A29" s="4" t="inlineStr">
        <is>
          <t>D25</t>
        </is>
      </c>
      <c r="B29" s="4" t="inlineStr">
        <is>
          <t>Default</t>
        </is>
      </c>
      <c r="C29" s="4" t="inlineStr">
        <is>
          <t>Drag is off unless switched on.</t>
        </is>
      </c>
      <c r="D29" s="4" t="inlineStr">
        <is>
          <t>cfg.use.drag = false</t>
        </is>
      </c>
      <c r="E29" s="4" t="inlineStr">
        <is>
          <t>Keeps every earlier result unchanged.</t>
        </is>
      </c>
      <c r="F29" s="4" t="inlineStr">
        <is>
          <t>None until switched on.</t>
        </is>
      </c>
      <c r="G29" s="4" t="inlineStr">
        <is>
          <t>Set cfg.use.drag = true for drag runs.</t>
        </is>
      </c>
    </row>
  </sheetData>
  <autoFilter ref="A4:G29"/>
  <pageMargins left="0.75" right="0.75" top="1" bottom="1" header="0.511811023622047" footer="0.511811023622047"/>
  <pageSetup orientation="landscape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2" customWidth="1" min="3" max="3"/>
    <col width="10" customWidth="1" min="4" max="4"/>
    <col width="60" customWidth="1" min="5" max="5"/>
  </cols>
  <sheetData>
    <row r="1">
      <c r="A1" s="16" t="inlineStr">
        <is>
          <t>Model inputs read by config.m</t>
        </is>
      </c>
    </row>
    <row r="4">
      <c r="A4" s="17" t="inlineStr">
        <is>
          <t>Quantity</t>
        </is>
      </c>
      <c r="B4" s="17" t="inlineStr">
        <is>
          <t>config.m field</t>
        </is>
      </c>
      <c r="C4" s="17" t="inlineStr">
        <is>
          <t>Value</t>
        </is>
      </c>
      <c r="D4" s="17" t="inlineStr">
        <is>
          <t>Unit</t>
        </is>
      </c>
      <c r="E4" s="17" t="inlineStr">
        <is>
          <t>Note</t>
        </is>
      </c>
    </row>
    <row r="5">
      <c r="A5" s="18" t="inlineStr">
        <is>
          <t>Constants</t>
        </is>
      </c>
    </row>
    <row r="6">
      <c r="A6" s="19" t="inlineStr">
        <is>
          <t>Earth gravitational parameter</t>
        </is>
      </c>
      <c r="B6" s="19" t="inlineStr">
        <is>
          <t>cfg.mu</t>
        </is>
      </c>
      <c r="C6" s="20" t="n">
        <v>398600.4418</v>
      </c>
      <c r="D6" s="19" t="inlineStr">
        <is>
          <t>km³/s²</t>
        </is>
      </c>
      <c r="E6" s="19" t="inlineStr"/>
    </row>
    <row r="7">
      <c r="A7" s="19" t="inlineStr">
        <is>
          <t>Earth equatorial radius</t>
        </is>
      </c>
      <c r="B7" s="19" t="inlineStr">
        <is>
          <t>cfg.Re</t>
        </is>
      </c>
      <c r="C7" s="21" t="n">
        <v>6378.137</v>
      </c>
      <c r="D7" s="19" t="inlineStr">
        <is>
          <t>km</t>
        </is>
      </c>
      <c r="E7" s="19" t="inlineStr">
        <is>
          <t>Reference for the orbit altitude cfg.h.</t>
        </is>
      </c>
    </row>
    <row r="8">
      <c r="A8" s="19" t="inlineStr">
        <is>
          <t>Earth second zonal harmonic</t>
        </is>
      </c>
      <c r="B8" s="19" t="inlineStr">
        <is>
          <t>cfg.J2</t>
        </is>
      </c>
      <c r="C8" s="22" t="n">
        <v>0.001082626683</v>
      </c>
      <c r="D8" s="19" t="inlineStr"/>
      <c r="E8" s="19" t="inlineStr"/>
    </row>
    <row r="9">
      <c r="A9" s="19" t="inlineStr">
        <is>
          <t>Sun mean radius</t>
        </is>
      </c>
      <c r="B9" s="19" t="inlineStr">
        <is>
          <t>cfg.Rsun</t>
        </is>
      </c>
      <c r="C9" s="23" t="n">
        <v>695700</v>
      </c>
      <c r="D9" s="19" t="inlineStr">
        <is>
          <t>km</t>
        </is>
      </c>
      <c r="E9" s="19" t="inlineStr"/>
    </row>
    <row r="10">
      <c r="A10" s="19" t="inlineStr">
        <is>
          <t>Astronomical unit</t>
        </is>
      </c>
      <c r="B10" s="19" t="inlineStr">
        <is>
          <t>cfg.AU</t>
        </is>
      </c>
      <c r="C10" s="24" t="n">
        <v>149597870.7</v>
      </c>
      <c r="D10" s="19" t="inlineStr">
        <is>
          <t>km</t>
        </is>
      </c>
      <c r="E10" s="19" t="inlineStr"/>
    </row>
    <row r="11">
      <c r="A11" s="19" t="inlineStr">
        <is>
          <t>Solar constant, irradiance at 1 AU</t>
        </is>
      </c>
      <c r="B11" s="19" t="inlineStr">
        <is>
          <t>cfg.S0</t>
        </is>
      </c>
      <c r="C11" s="23" t="n">
        <v>1361</v>
      </c>
      <c r="D11" s="19" t="inlineStr">
        <is>
          <t>W/m²</t>
        </is>
      </c>
      <c r="E11" s="19" t="inlineStr"/>
    </row>
    <row r="12">
      <c r="A12" s="19" t="inlineStr">
        <is>
          <t>Earth flattening, WGS84</t>
        </is>
      </c>
      <c r="B12" s="19" t="inlineStr">
        <is>
          <t>cfg.f</t>
        </is>
      </c>
      <c r="C12" s="25" t="n">
        <v>0.0033528106647474805</v>
      </c>
      <c r="D12" s="19" t="inlineStr"/>
      <c r="E12" s="19" t="inlineStr">
        <is>
          <t>1/298.257223563. Used for the drag height, the ground station positions and the ground track.</t>
        </is>
      </c>
    </row>
    <row r="13">
      <c r="A13" s="19" t="inlineStr">
        <is>
          <t>Earth rotation rate</t>
        </is>
      </c>
      <c r="B13" s="19" t="inlineStr">
        <is>
          <t>cfg.wE</t>
        </is>
      </c>
      <c r="C13" s="26" t="n">
        <v>7.292115e-05</v>
      </c>
      <c r="D13" s="19" t="inlineStr">
        <is>
          <t>rad/s</t>
        </is>
      </c>
      <c r="E13" s="19" t="inlineStr">
        <is>
          <t>Rigid co-rotation of the atmosphere.</t>
        </is>
      </c>
    </row>
    <row r="14">
      <c r="A14" s="18" t="inlineStr">
        <is>
          <t>Epoch and orbit</t>
        </is>
      </c>
    </row>
    <row r="15">
      <c r="A15" s="19" t="inlineStr">
        <is>
          <t>UTC instant at sim start</t>
        </is>
      </c>
      <c r="B15" s="19" t="inlineStr">
        <is>
          <t>cfg.epoch</t>
        </is>
      </c>
      <c r="C15" s="27" t="inlineStr">
        <is>
          <t>2026-09-15 00:00:00</t>
        </is>
      </c>
      <c r="D15" s="19" t="inlineStr"/>
      <c r="E15" s="19" t="inlineStr">
        <is>
          <t>Text in the form yyyy-mm-dd HH:MM:SS.</t>
        </is>
      </c>
    </row>
    <row r="16">
      <c r="A16" s="19" t="inlineStr">
        <is>
          <t>Orbit altitude above cfg.Re</t>
        </is>
      </c>
      <c r="B16" s="19" t="inlineStr">
        <is>
          <t>cfg.h</t>
        </is>
      </c>
      <c r="C16" s="28" t="n">
        <v>625</v>
      </c>
      <c r="D16" s="19" t="inlineStr">
        <is>
          <t>km</t>
        </is>
      </c>
      <c r="E16" s="19" t="inlineStr">
        <is>
          <t>Osculating at the start, orbit-mean altitude about 620.2 km.</t>
        </is>
      </c>
    </row>
    <row r="17">
      <c r="A17" s="19" t="inlineStr">
        <is>
          <t>Inclination</t>
        </is>
      </c>
      <c r="B17" s="19" t="inlineStr">
        <is>
          <t>cfg.inc</t>
        </is>
      </c>
      <c r="C17" s="28" t="n">
        <v>97.5</v>
      </c>
      <c r="D17" s="19" t="inlineStr">
        <is>
          <t>deg</t>
        </is>
      </c>
      <c r="E17" s="19" t="inlineStr">
        <is>
          <t>GNC value. Sun synchronous at 625 km would be 97.851 (ssoInclination), so the LTAN drifts about -64 min per year.</t>
        </is>
      </c>
    </row>
    <row r="18">
      <c r="A18" s="19" t="inlineStr">
        <is>
          <t>Initial right ascension of the ascending node</t>
        </is>
      </c>
      <c r="B18" s="19" t="inlineStr">
        <is>
          <t>cfg.raan0</t>
        </is>
      </c>
      <c r="C18" s="28" t="n">
        <v>83.9718</v>
      </c>
      <c r="D18" s="19" t="inlineStr">
        <is>
          <t>deg</t>
        </is>
      </c>
      <c r="E18" s="19" t="inlineStr">
        <is>
          <t>LTAN 06:00 at cfg.epoch, mean Sun as in tradeLighting.m. GNC gave 115, which is LTAN 06:00 on 16 Oct 2026.</t>
        </is>
      </c>
    </row>
    <row r="19">
      <c r="A19" s="19" t="inlineStr">
        <is>
          <t>Initial argument of perigee</t>
        </is>
      </c>
      <c r="B19" s="19" t="inlineStr">
        <is>
          <t>cfg.argp0</t>
        </is>
      </c>
      <c r="C19" s="28" t="n">
        <v>0</v>
      </c>
      <c r="D19" s="19" t="inlineStr">
        <is>
          <t>deg</t>
        </is>
      </c>
      <c r="E19" s="19" t="inlineStr"/>
    </row>
    <row r="20">
      <c r="A20" s="19" t="inlineStr">
        <is>
          <t>Initial true anomaly</t>
        </is>
      </c>
      <c r="B20" s="19" t="inlineStr">
        <is>
          <t>cfg.nu0</t>
        </is>
      </c>
      <c r="C20" s="28" t="n">
        <v>0</v>
      </c>
      <c r="D20" s="19" t="inlineStr">
        <is>
          <t>deg</t>
        </is>
      </c>
      <c r="E20" s="19" t="inlineStr"/>
    </row>
    <row r="21">
      <c r="A21" s="19" t="inlineStr">
        <is>
          <t>Eccentricity</t>
        </is>
      </c>
      <c r="B21" s="19" t="inlineStr">
        <is>
          <t>cfg.ecc</t>
        </is>
      </c>
      <c r="C21" s="28" t="n">
        <v>0</v>
      </c>
      <c r="D21" s="19" t="inlineStr"/>
      <c r="E21" s="19" t="inlineStr"/>
    </row>
    <row r="22">
      <c r="A22" s="18" t="inlineStr">
        <is>
          <t>Constellation</t>
        </is>
      </c>
    </row>
    <row r="23">
      <c r="A23" s="19" t="inlineStr">
        <is>
          <t>Number of orbit planes</t>
        </is>
      </c>
      <c r="B23" s="19" t="inlineStr">
        <is>
          <t>cfg.const.nPlanes</t>
        </is>
      </c>
      <c r="C23" s="28" t="n">
        <v>3</v>
      </c>
      <c r="D23" s="19" t="inlineStr"/>
      <c r="E23" s="19" t="inlineStr"/>
    </row>
    <row r="24">
      <c r="A24" s="19" t="inlineStr">
        <is>
          <t>Satellites per plane</t>
        </is>
      </c>
      <c r="B24" s="19" t="inlineStr">
        <is>
          <t>cfg.const.nPerPlane</t>
        </is>
      </c>
      <c r="C24" s="28" t="n">
        <v>3</v>
      </c>
      <c r="D24" s="19" t="inlineStr"/>
      <c r="E24" s="19" t="inlineStr"/>
    </row>
    <row r="25">
      <c r="A25" s="19" t="inlineStr">
        <is>
          <t>RAAN step between planes</t>
        </is>
      </c>
      <c r="B25" s="19" t="inlineStr">
        <is>
          <t>cfg.const.dRaan</t>
        </is>
      </c>
      <c r="C25" s="28" t="n">
        <v>5</v>
      </c>
      <c r="D25" s="19" t="inlineStr">
        <is>
          <t>deg</t>
        </is>
      </c>
      <c r="E25" s="19" t="inlineStr">
        <is>
          <t>Plane k has RAAN cfg.raan0 + (k-1)*dRaan.</t>
        </is>
      </c>
    </row>
    <row r="26">
      <c r="A26" s="19" t="inlineStr">
        <is>
          <t>Along-track step between satellites in a plane</t>
        </is>
      </c>
      <c r="B26" s="19" t="inlineStr">
        <is>
          <t>cfg.const.dU</t>
        </is>
      </c>
      <c r="C26" s="28" t="n">
        <v>120</v>
      </c>
      <c r="D26" s="19" t="inlineStr">
        <is>
          <t>deg</t>
        </is>
      </c>
      <c r="E26" s="19" t="inlineStr">
        <is>
          <t>Taken in time as dU/360 of the nodal period, so a plane shares one trajectory.</t>
        </is>
      </c>
    </row>
    <row r="27">
      <c r="A27" s="18" t="inlineStr">
        <is>
          <t>Switches</t>
        </is>
      </c>
    </row>
    <row r="28">
      <c r="A28" s="19" t="inlineStr">
        <is>
          <t>J2 acceleration</t>
        </is>
      </c>
      <c r="B28" s="19" t="inlineStr">
        <is>
          <t>cfg.use.J2</t>
        </is>
      </c>
      <c r="C28" s="28" t="b">
        <v>1</v>
      </c>
      <c r="D28" s="19" t="inlineStr"/>
      <c r="E28" s="19" t="inlineStr"/>
    </row>
    <row r="29">
      <c r="A29" s="19" t="inlineStr">
        <is>
          <t>Sun direction and Earth shadow history</t>
        </is>
      </c>
      <c r="B29" s="19" t="inlineStr">
        <is>
          <t>cfg.use.eclipse</t>
        </is>
      </c>
      <c r="C29" s="28" t="b">
        <v>1</v>
      </c>
      <c r="D29" s="19" t="inlineStr"/>
      <c r="E29" s="19" t="inlineStr">
        <is>
          <t>Needed by solarFlux.m and eclipseTimes.m.</t>
        </is>
      </c>
    </row>
    <row r="30">
      <c r="A30" s="19" t="inlineStr">
        <is>
          <t>Atmospheric drag in the Jacchia 1977 atmosphere</t>
        </is>
      </c>
      <c r="B30" s="19" t="inlineStr">
        <is>
          <t>cfg.use.drag</t>
        </is>
      </c>
      <c r="C30" s="28" t="b">
        <v>0</v>
      </c>
      <c r="D30" s="19" t="inlineStr"/>
      <c r="E30" s="19" t="inlineStr">
        <is>
          <t>Off by default so existing results are unchanged; set true to include drag.</t>
        </is>
      </c>
    </row>
    <row r="31">
      <c r="A31" s="19" t="inlineStr">
        <is>
          <t>Solar radiation pressure</t>
        </is>
      </c>
      <c r="B31" s="19" t="inlineStr">
        <is>
          <t>cfg.use.srp</t>
        </is>
      </c>
      <c r="C31" s="28" t="b">
        <v>0</v>
      </c>
      <c r="D31" s="19" t="inlineStr"/>
      <c r="E31" s="19" t="inlineStr">
        <is>
          <t>Not implemented.</t>
        </is>
      </c>
    </row>
    <row r="32">
      <c r="A32" s="19" t="inlineStr">
        <is>
          <t>Shadow geometry</t>
        </is>
      </c>
      <c r="B32" s="19" t="inlineStr">
        <is>
          <t>cfg.eclipse.model</t>
        </is>
      </c>
      <c r="C32" s="27" t="inlineStr">
        <is>
          <t>conical</t>
        </is>
      </c>
      <c r="D32" s="19" t="inlineStr"/>
      <c r="E32" s="19" t="inlineStr">
        <is>
          <t>'conical' or 'cylindrical'.</t>
        </is>
      </c>
    </row>
    <row r="33">
      <c r="A33" s="18" t="inlineStr">
        <is>
          <t>Spacecraft and drag</t>
        </is>
      </c>
    </row>
    <row r="34">
      <c r="A34" s="19" t="inlineStr">
        <is>
          <t>Spacecraft mass</t>
        </is>
      </c>
      <c r="B34" s="19" t="inlineStr">
        <is>
          <t>cfg.drag.mass</t>
        </is>
      </c>
      <c r="C34" s="28" t="n">
        <v>12</v>
      </c>
      <c r="D34" s="19" t="inlineStr">
        <is>
          <t>kg</t>
        </is>
      </c>
      <c r="E34" s="19" t="inlineStr">
        <is>
          <t>Placeholder</t>
        </is>
      </c>
    </row>
    <row r="35">
      <c r="A35" s="19" t="inlineStr">
        <is>
          <t>Mean cross-sectional area normal to the flow</t>
        </is>
      </c>
      <c r="B35" s="19" t="inlineStr">
        <is>
          <t>cfg.drag.area</t>
        </is>
      </c>
      <c r="C35" s="28" t="n">
        <v>0.18</v>
      </c>
      <c r="D35" s="19" t="inlineStr">
        <is>
          <t>m²</t>
        </is>
      </c>
      <c r="E35" s="19" t="inlineStr">
        <is>
          <t>Placeholder</t>
        </is>
      </c>
    </row>
    <row r="36">
      <c r="A36" s="19" t="inlineStr">
        <is>
          <t>Drag coefficient</t>
        </is>
      </c>
      <c r="B36" s="19" t="inlineStr">
        <is>
          <t>cfg.drag.Cd</t>
        </is>
      </c>
      <c r="C36" s="28" t="n">
        <v>2.2</v>
      </c>
      <c r="D36" s="19" t="inlineStr"/>
      <c r="E36" s="19" t="inlineStr">
        <is>
          <t>Placeholder</t>
        </is>
      </c>
    </row>
    <row r="37">
      <c r="A37" s="19" t="inlineStr">
        <is>
          <t>10.7 cm solar flux, daily and 81-day mean</t>
        </is>
      </c>
      <c r="B37" s="19" t="inlineStr">
        <is>
          <t>cfg.drag.F107</t>
        </is>
      </c>
      <c r="C37" s="28" t="n">
        <v>150</v>
      </c>
      <c r="D37" s="19" t="inlineStr">
        <is>
          <t>sfu</t>
        </is>
      </c>
      <c r="E37" s="19" t="inlineStr">
        <is>
          <t>Held constant for the whole run. CelesTrak forecast mean for Sep 2026 to Sep 2027 is about 107.</t>
        </is>
      </c>
    </row>
    <row r="38">
      <c r="A38" s="18" t="inlineStr">
        <is>
          <t>Power</t>
        </is>
      </c>
    </row>
    <row r="39">
      <c r="A39" s="19" t="inlineStr">
        <is>
          <t>Solar panel front-face area</t>
        </is>
      </c>
      <c r="B39" s="19" t="inlineStr">
        <is>
          <t>cfg.power.panelArea</t>
        </is>
      </c>
      <c r="C39" s="28" t="n">
        <v>0.1977</v>
      </c>
      <c r="D39" s="19" t="inlineStr">
        <is>
          <t>m²</t>
        </is>
      </c>
      <c r="E39" s="19" t="inlineStr">
        <is>
          <t>Total physical area per satellite, passed to arrayPower by main_demo.</t>
        </is>
      </c>
    </row>
    <row r="40">
      <c r="A40" s="18" t="inlineStr">
        <is>
          <t>Solver</t>
        </is>
      </c>
    </row>
    <row r="41">
      <c r="A41" s="19" t="inlineStr">
        <is>
          <t>ode45 relative error tolerance</t>
        </is>
      </c>
      <c r="B41" s="19" t="inlineStr">
        <is>
          <t>cfg.ode.relTol</t>
        </is>
      </c>
      <c r="C41" s="29" t="n">
        <v>1e-11</v>
      </c>
      <c r="D41" s="19" t="inlineStr"/>
      <c r="E41" s="19" t="inlineStr"/>
    </row>
    <row r="42">
      <c r="A42" s="19" t="inlineStr">
        <is>
          <t>ode45 absolute error tolerance</t>
        </is>
      </c>
      <c r="B42" s="19" t="inlineStr">
        <is>
          <t>cfg.ode.absTol</t>
        </is>
      </c>
      <c r="C42" s="29" t="n">
        <v>1e-11</v>
      </c>
      <c r="D42" s="19" t="inlineStr"/>
      <c r="E42" s="19" t="inlineStr"/>
    </row>
    <row r="43">
      <c r="A43" s="19" t="inlineStr">
        <is>
          <t>Spacing of the uniform output time grid</t>
        </is>
      </c>
      <c r="B43" s="19" t="inlineStr">
        <is>
          <t>cfg.ode.dtOut</t>
        </is>
      </c>
      <c r="C43" s="28" t="n">
        <v>60</v>
      </c>
      <c r="D43" s="19" t="inlineStr">
        <is>
          <t>s</t>
        </is>
      </c>
      <c r="E43" s="19" t="inlineStr">
        <is>
          <t>Sets the sampling only, not the integration accuracy.</t>
        </is>
      </c>
    </row>
    <row r="44">
      <c r="A44" s="18" t="inlineStr">
        <is>
          <t>Derived</t>
        </is>
      </c>
    </row>
    <row r="45">
      <c r="A45" s="19" t="inlineStr">
        <is>
          <t>Ballistic coefficient m/(Cd A)</t>
        </is>
      </c>
      <c r="B45" s="19" t="n"/>
      <c r="C45" s="30">
        <f>C34/(C36*C35)</f>
        <v/>
      </c>
      <c r="D45" s="19" t="inlineStr">
        <is>
          <t>kg/m²</t>
        </is>
      </c>
      <c r="E45" s="19" t="inlineStr">
        <is>
          <t>Derived</t>
        </is>
      </c>
    </row>
    <row r="46">
      <c r="A46" s="19" t="inlineStr">
        <is>
          <t>Exospheric temperature, J77 eq. 20 at Kp = 0</t>
        </is>
      </c>
      <c r="B46" s="19" t="n"/>
      <c r="C46" s="30">
        <f>5.48*C37^0.8+101.8*C37^0.4</f>
        <v/>
      </c>
      <c r="D46" s="19" t="inlineStr">
        <is>
          <t>K</t>
        </is>
      </c>
      <c r="E46" s="19" t="inlineStr">
        <is>
          <t>Derived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6" customWidth="1" min="4" max="4"/>
    <col width="16" customWidth="1" min="5" max="5"/>
    <col width="8" customWidth="1" min="6" max="6"/>
    <col width="60" customWidth="1" min="7" max="7"/>
  </cols>
  <sheetData>
    <row r="1">
      <c r="A1" s="16" t="inlineStr">
        <is>
          <t>Ground stations read by stations.m</t>
        </is>
      </c>
    </row>
    <row r="4">
      <c r="A4" s="17" t="inlineStr">
        <is>
          <t>Name</t>
        </is>
      </c>
      <c r="B4" s="17" t="inlineStr">
        <is>
          <t>Latitude [deg]</t>
        </is>
      </c>
      <c r="C4" s="17" t="inlineStr">
        <is>
          <t>Longitude [deg, east positive]</t>
        </is>
      </c>
      <c r="D4" s="17" t="inlineStr">
        <is>
          <t>Altitude [m]</t>
        </is>
      </c>
      <c r="E4" s="17" t="inlineStr">
        <is>
          <t>Mask angle [deg]</t>
        </is>
      </c>
      <c r="F4" s="17" t="inlineStr">
        <is>
          <t>Use</t>
        </is>
      </c>
      <c r="G4" s="17" t="inlineStr">
        <is>
          <t>Note</t>
        </is>
      </c>
    </row>
    <row r="5">
      <c r="A5" s="19" t="inlineStr">
        <is>
          <t>KSAT Svalbard</t>
        </is>
      </c>
      <c r="B5" s="28" t="n">
        <v>78.229</v>
      </c>
      <c r="C5" s="28" t="n">
        <v>15.4</v>
      </c>
      <c r="D5" s="28" t="n">
        <v>0</v>
      </c>
      <c r="E5" s="28" t="n">
        <v>10</v>
      </c>
      <c r="F5" s="28" t="b">
        <v>1</v>
      </c>
      <c r="G5" s="19" t="inlineStr">
        <is>
          <t>From the team ground station list, which gives no altitude or mask, so 0 m and 10 deg are assumed.</t>
        </is>
      </c>
    </row>
    <row r="6">
      <c r="A6" s="19" t="inlineStr">
        <is>
          <t>NASA McMurdo</t>
        </is>
      </c>
      <c r="B6" s="28" t="n">
        <v>-77.85</v>
      </c>
      <c r="C6" s="28" t="n">
        <v>166.63</v>
      </c>
      <c r="D6" s="28" t="n">
        <v>0</v>
      </c>
      <c r="E6" s="28" t="n">
        <v>10</v>
      </c>
      <c r="F6" s="28" t="b">
        <v>1</v>
      </c>
      <c r="G6" s="19" t="inlineStr">
        <is>
          <t>From the team ground station list, which gives no altitude or mask, so 0 m and 10 deg are assumed.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showGridLines="0" topLeftCell="A48" zoomScaleNormal="100" workbookViewId="0">
      <selection activeCell="A1" sqref="A1"/>
    </sheetView>
  </sheetViews>
  <sheetFormatPr baseColWidth="8" defaultColWidth="8.68359375" defaultRowHeight="14.4"/>
  <cols>
    <col width="34" customWidth="1" min="1" max="1"/>
    <col width="20" customWidth="1" min="2" max="2"/>
    <col width="24" customWidth="1" min="3" max="3"/>
    <col width="20" customWidth="1" min="4" max="4"/>
    <col width="24" customWidth="1" min="5" max="5"/>
  </cols>
  <sheetData>
    <row r="1" ht="17.7" customHeight="1">
      <c r="A1" s="1" t="inlineStr">
        <is>
          <t>Checks of the drag model</t>
        </is>
      </c>
    </row>
    <row r="2">
      <c r="A2" s="2" t="inlineStr">
        <is>
          <t>Runs on 17 to 19 Oct 2026. Ratios and differences are formulas over the tabulated values.</t>
        </is>
      </c>
    </row>
    <row r="4">
      <c r="A4" s="10" t="inlineStr">
        <is>
          <t>1. Exospheric temperature against J77 Table 5</t>
        </is>
      </c>
    </row>
    <row r="5">
      <c r="A5" s="3" t="inlineStr">
        <is>
          <t>F10.7 [sfu]</t>
        </is>
      </c>
      <c r="B5" s="3" t="inlineStr">
        <is>
          <t>J77 Table 5 [K]</t>
        </is>
      </c>
      <c r="C5" s="3" t="inlineStr">
        <is>
          <t>dragTable.m in MATLAB [K]</t>
        </is>
      </c>
      <c r="D5" s="3" t="inlineStr">
        <is>
          <t>Formula here [K]</t>
        </is>
      </c>
      <c r="E5" s="3" t="inlineStr">
        <is>
          <t>Formula minus Table 5 [K]</t>
        </is>
      </c>
    </row>
    <row r="6">
      <c r="A6" s="11" t="n">
        <v>70</v>
      </c>
      <c r="B6" s="9" t="n">
        <v>720.9</v>
      </c>
      <c r="C6" s="9" t="n">
        <v>720.9</v>
      </c>
      <c r="D6" s="9">
        <f>5.48*A6^0.8+101.8*A6^0.4</f>
        <v/>
      </c>
      <c r="E6" s="12">
        <f>D6-B6</f>
        <v/>
      </c>
    </row>
    <row r="7">
      <c r="A7" s="11" t="n">
        <v>100</v>
      </c>
      <c r="B7" s="9" t="n">
        <v>860.5</v>
      </c>
      <c r="C7" s="9" t="n">
        <v>860.5</v>
      </c>
      <c r="D7" s="9">
        <f>5.48*A7^0.8+101.8*A7^0.4</f>
        <v/>
      </c>
      <c r="E7" s="12">
        <f>D7-B7</f>
        <v/>
      </c>
    </row>
    <row r="8">
      <c r="A8" s="11" t="n">
        <v>150</v>
      </c>
      <c r="B8" s="9" t="n">
        <v>1057.2</v>
      </c>
      <c r="C8" s="9" t="n">
        <v>1057.2</v>
      </c>
      <c r="D8" s="9">
        <f>5.48*A8^0.8+101.8*A8^0.4</f>
        <v/>
      </c>
      <c r="E8" s="12">
        <f>D8-B8</f>
        <v/>
      </c>
    </row>
    <row r="9">
      <c r="A9" s="11" t="n">
        <v>200</v>
      </c>
      <c r="B9" s="9" t="n">
        <v>1227.4</v>
      </c>
      <c r="C9" s="9" t="n">
        <v>1227.4</v>
      </c>
      <c r="D9" s="9">
        <f>5.48*A9^0.8+101.8*A9^0.4</f>
        <v/>
      </c>
      <c r="E9" s="12">
        <f>D9-B9</f>
        <v/>
      </c>
    </row>
    <row r="10">
      <c r="A10" s="11" t="n">
        <v>250</v>
      </c>
      <c r="B10" s="9" t="n">
        <v>1380.7</v>
      </c>
      <c r="C10" s="9" t="n">
        <v>1380.7</v>
      </c>
      <c r="D10" s="9">
        <f>5.48*A10^0.8+101.8*A10^0.4</f>
        <v/>
      </c>
      <c r="E10" s="12">
        <f>D10-B10</f>
        <v/>
      </c>
    </row>
    <row r="11">
      <c r="A11" s="11" t="n">
        <v>300</v>
      </c>
      <c r="B11" s="9" t="n">
        <v>1522.2</v>
      </c>
      <c r="C11" s="9" t="n">
        <v>1522.2</v>
      </c>
      <c r="D11" s="9">
        <f>5.48*A11^0.8+101.8*A11^0.4</f>
        <v/>
      </c>
      <c r="E11" s="12">
        <f>D11-B11</f>
        <v/>
      </c>
    </row>
    <row r="13">
      <c r="A13" s="10" t="inlineStr">
        <is>
          <t>2. J77 at F10.7 150 against NRLMSISE-00 global mean (F10.7 150, Ap 4, 15 Sep 2026, MATLAB atmosnrlmsise00)</t>
        </is>
      </c>
    </row>
    <row r="14">
      <c r="A14" s="3" t="inlineStr">
        <is>
          <t>Height [km]</t>
        </is>
      </c>
      <c r="B14" s="3" t="inlineStr">
        <is>
          <t>J77 [kg/m³]</t>
        </is>
      </c>
      <c r="C14" s="3" t="inlineStr">
        <is>
          <t>NRLMSISE-00 [kg/m³]</t>
        </is>
      </c>
      <c r="D14" s="3" t="inlineStr">
        <is>
          <t>J77 / NRLMSISE-00</t>
        </is>
      </c>
      <c r="E14" s="3" t="n"/>
    </row>
    <row r="15">
      <c r="A15" s="11" t="n">
        <v>400</v>
      </c>
      <c r="B15" s="13" t="n">
        <v>3.873e-12</v>
      </c>
      <c r="C15" s="13" t="n">
        <v>3.977e-12</v>
      </c>
      <c r="D15" s="12">
        <f>B15/C15</f>
        <v/>
      </c>
    </row>
    <row r="16">
      <c r="A16" s="11" t="n">
        <v>500</v>
      </c>
      <c r="B16" s="13" t="n">
        <v>7.609e-13</v>
      </c>
      <c r="C16" s="13" t="n">
        <v>7.807e-13</v>
      </c>
      <c r="D16" s="12">
        <f>B16/C16</f>
        <v/>
      </c>
    </row>
    <row r="17">
      <c r="A17" s="11" t="n">
        <v>550</v>
      </c>
      <c r="B17" s="13" t="n">
        <v>3.552e-13</v>
      </c>
      <c r="C17" s="13" t="n">
        <v>3.66e-13</v>
      </c>
      <c r="D17" s="12">
        <f>B17/C17</f>
        <v/>
      </c>
    </row>
    <row r="18">
      <c r="A18" s="11" t="n">
        <v>600</v>
      </c>
      <c r="B18" s="13" t="n">
        <v>1.711e-13</v>
      </c>
      <c r="C18" s="13" t="n">
        <v>1.776e-13</v>
      </c>
      <c r="D18" s="12">
        <f>B18/C18</f>
        <v/>
      </c>
    </row>
    <row r="19">
      <c r="A19" s="11" t="n">
        <v>650</v>
      </c>
      <c r="B19" s="13" t="n">
        <v>8.535e-14</v>
      </c>
      <c r="C19" s="13" t="n">
        <v>8.946e-14</v>
      </c>
      <c r="D19" s="12">
        <f>B19/C19</f>
        <v/>
      </c>
    </row>
    <row r="20">
      <c r="A20" s="11" t="n">
        <v>700</v>
      </c>
      <c r="B20" s="13" t="n">
        <v>4.448e-14</v>
      </c>
      <c r="C20" s="13" t="n">
        <v>4.709e-14</v>
      </c>
      <c r="D20" s="12">
        <f>B20/C20</f>
        <v/>
      </c>
    </row>
    <row r="21">
      <c r="A21" s="11" t="n">
        <v>800</v>
      </c>
      <c r="B21" s="13" t="n">
        <v>1.443e-14</v>
      </c>
      <c r="C21" s="13" t="n">
        <v>1.54e-14</v>
      </c>
      <c r="D21" s="12">
        <f>B21/C21</f>
        <v/>
      </c>
    </row>
    <row r="22">
      <c r="A22" s="11" t="n">
        <v>900</v>
      </c>
      <c r="B22" s="13" t="n">
        <v>6.258e-15</v>
      </c>
      <c r="C22" s="13" t="n">
        <v>6.546e-15</v>
      </c>
      <c r="D22" s="12">
        <f>B22/C22</f>
        <v/>
      </c>
    </row>
    <row r="23">
      <c r="A23" s="11" t="n">
        <v>950</v>
      </c>
      <c r="B23" s="13" t="n">
        <v>4.565e-15</v>
      </c>
      <c r="C23" s="13" t="n">
        <v>4.688e-15</v>
      </c>
      <c r="D23" s="12">
        <f>B23/C23</f>
        <v/>
      </c>
    </row>
    <row r="24">
      <c r="A24" s="11" t="n">
        <v>1000</v>
      </c>
      <c r="B24" s="13" t="n">
        <v>3.507e-15</v>
      </c>
      <c r="C24" s="13" t="n">
        <v>3.531e-15</v>
      </c>
      <c r="D24" s="12">
        <f>B24/C24</f>
        <v/>
      </c>
    </row>
    <row r="26">
      <c r="A26" s="10" t="inlineStr">
        <is>
          <t>3. Numerical checks</t>
        </is>
      </c>
    </row>
    <row r="27">
      <c r="A27" s="3" t="inlineStr">
        <is>
          <t>Check</t>
        </is>
      </c>
      <c r="B27" s="3" t="inlineStr">
        <is>
          <t>Result</t>
        </is>
      </c>
      <c r="C27" s="3" t="inlineStr">
        <is>
          <t>Value</t>
        </is>
      </c>
      <c r="D27" s="3" t="inlineStr">
        <is>
          <t>Unit</t>
        </is>
      </c>
      <c r="E27" s="3" t="inlineStr">
        <is>
          <t>How it was run</t>
        </is>
      </c>
    </row>
    <row r="28" ht="24.6" customHeight="1">
      <c r="A28" s="4" t="inlineStr">
        <is>
          <t>j77sri.m against its shipped t1000.out</t>
        </is>
      </c>
      <c r="B28" s="4" t="inlineStr">
        <is>
          <t>All 126 rows within print rounding</t>
        </is>
      </c>
      <c r="C28" s="31" t="n">
        <v>0.0049</v>
      </c>
      <c r="D28" s="4" t="inlineStr">
        <is>
          <t>K, largest temperature difference; half the last printed digit is 0.005 K</t>
        </is>
      </c>
      <c r="E28" s="4" t="inlineStr">
        <is>
          <t>dragCheck.m check 2 in MATLAB, and a line-by-line Python transcription of j77sri.m</t>
        </is>
      </c>
    </row>
    <row r="29" ht="36.9" customHeight="1">
      <c r="A29" s="4" t="inlineStr">
        <is>
          <t>Interpolation error of pchip on ln ρ</t>
        </is>
      </c>
      <c r="B29" s="4" t="inlineStr">
        <is>
          <t>Max relative error, 300 to 1200 km</t>
        </is>
      </c>
      <c r="C29" s="14" t="n">
        <v>1.1e-09</v>
      </c>
      <c r="D29" s="4" t="n"/>
      <c r="E29" s="4" t="inlineStr">
        <is>
          <t>Table rebuilt from a 2 km grid and checked at the dropped points</t>
        </is>
      </c>
    </row>
    <row r="30" ht="49.2" customHeight="1">
      <c r="A30" s="4" t="inlineStr">
        <is>
          <t>Integration step of j77sri.m</t>
        </is>
      </c>
      <c r="B30" s="4" t="inlineStr">
        <is>
          <t>Max relative density change, 1 km against 0.02 km step, 400 to 950 km</t>
        </is>
      </c>
      <c r="C30" s="14" t="n">
        <v>0.00013</v>
      </c>
      <c r="D30" s="4" t="n"/>
      <c r="E30" s="4" t="inlineStr">
        <is>
          <t>Same equations re-integrated with a finer step</t>
        </is>
      </c>
    </row>
    <row r="31" ht="49.2" customHeight="1">
      <c r="A31" s="4" t="inlineStr">
        <is>
          <t>Drag acceleration in eom.m</t>
        </is>
      </c>
      <c r="B31" s="4" t="inlineStr">
        <is>
          <t>Relative difference from an independent SI calculation</t>
        </is>
      </c>
      <c r="C31" s="14" t="n">
        <v>7.2e-09</v>
      </c>
      <c r="D31" s="4" t="n"/>
      <c r="E31" s="4" t="inlineStr">
        <is>
          <t>dragCheck.m check 4 in MATLAB at one state, 650 km, i = 97.95°. The floor is round-off from subtracting the gravity term.</t>
        </is>
      </c>
    </row>
    <row r="32" ht="61.5" customHeight="1">
      <c r="A32" s="4" t="inlineStr">
        <is>
          <t>Thirty-day decay of case A</t>
        </is>
      </c>
      <c r="B32" s="4" t="inlineStr">
        <is>
          <t>ode45 run against the orbit-averaged rate started at the run's orbit-averaged altitude, 645.2 km (−370 m)</t>
        </is>
      </c>
      <c r="C32" s="11" t="n">
        <v>-369</v>
      </c>
      <c r="D32" s="4" t="inlineStr">
        <is>
          <t>m</t>
        </is>
      </c>
      <c r="E32" s="4" t="inlineStr">
        <is>
          <t>dragCheck(30) in MATLAB, F10.7 150, 30 kg/m²; ratio 0.997</t>
        </is>
      </c>
    </row>
    <row r="33" ht="24.6" customHeight="1">
      <c r="A33" s="4" t="inlineStr">
        <is>
          <t>Run time of one year, case A</t>
        </is>
      </c>
      <c r="B33" s="4" t="inlineStr">
        <is>
          <t>MATLAB R2026b, with drag</t>
        </is>
      </c>
      <c r="C33" s="11" t="n">
        <v>489</v>
      </c>
      <c r="D33" s="4" t="inlineStr">
        <is>
          <t>s</t>
        </is>
      </c>
      <c r="E33" s="4" t="inlineStr">
        <is>
          <t>dragCheck.m; without drag 67 s</t>
        </is>
      </c>
    </row>
    <row r="35">
      <c r="A35" s="10" t="inlineStr">
        <is>
          <t>4. One-year drag decay of case A (650 km, LTAN 18:00), F10.7 150, m/(Cd A) = 30 kg/m²</t>
        </is>
      </c>
    </row>
    <row r="36" ht="36.9" customHeight="1">
      <c r="A36" s="3" t="inlineStr">
        <is>
          <t>Method</t>
        </is>
      </c>
      <c r="B36" s="3" t="inlineStr">
        <is>
          <t>Drag part of the one-year altitude change [km]</t>
        </is>
      </c>
      <c r="C36" s="3" t="inlineStr">
        <is>
          <t>Relative to ODIN-Model with J77</t>
        </is>
      </c>
      <c r="D36" s="3" t="inlineStr">
        <is>
          <t>Run time [s]</t>
        </is>
      </c>
      <c r="E36" s="3" t="inlineStr">
        <is>
          <t>Note</t>
        </is>
      </c>
    </row>
    <row r="37" ht="49.2" customHeight="1">
      <c r="A37" s="15" t="inlineStr">
        <is>
          <t>ODIN-Model with J77 drag (ode45, MATLAB)</t>
        </is>
      </c>
      <c r="B37" s="32" t="n">
        <v>-4.671</v>
      </c>
      <c r="C37" s="32">
        <f>B37/B$37</f>
        <v/>
      </c>
      <c r="D37" s="11" t="n">
        <v>489</v>
      </c>
      <c r="E37" s="15" t="inlineStr">
        <is>
          <t>dragCheck.m: drag run minus drag-free run, orbit-averaged altitude one orbit after start to one orbit before end</t>
        </is>
      </c>
    </row>
    <row r="38" ht="123" customHeight="1">
      <c r="A38" s="15" t="inlineStr">
        <is>
          <t>Orbit-averaged decay rate, SI units</t>
        </is>
      </c>
      <c r="B38" s="32" t="n">
        <v>-4.649</v>
      </c>
      <c r="C38" s="32">
        <f>B38/B$37</f>
        <v/>
      </c>
      <c r="D38" s="11" t="n"/>
      <c r="E38" s="15" t="inlineStr">
        <is>
          <t>Independent of ode45: circular orbit, J77 table, rotating atmosphere, daily midpoint steps, started at the orbit-averaged altitude of the drag-free run (645.2 km). dragCheck.m in MATLAB.</t>
        </is>
      </c>
    </row>
    <row r="39" ht="49.2" customHeight="1">
      <c r="A39" s="15" t="inlineStr">
        <is>
          <t>High-fidelity run: NRLMSISE-00 and EGM2008 120 x 120</t>
        </is>
      </c>
      <c r="B39" s="32" t="n">
        <v>-4.864</v>
      </c>
      <c r="C39" s="32">
        <f>B39/B$37</f>
        <v/>
      </c>
      <c r="D39" s="11" t="n"/>
      <c r="E39" s="15" t="inlineStr">
        <is>
          <t>From numericalCrossCheck_365d.mat, F10.7 150, Ap 4, same metric</t>
        </is>
      </c>
    </row>
    <row r="41">
      <c r="A41" s="10" t="inlineStr">
        <is>
          <t>5. Sensitivities at 650 km (density relative to the baseline)</t>
        </is>
      </c>
    </row>
    <row r="42">
      <c r="A42" s="3" t="inlineStr">
        <is>
          <t>Change</t>
        </is>
      </c>
      <c r="B42" s="3" t="inlineStr">
        <is>
          <t>Density factor</t>
        </is>
      </c>
      <c r="C42" s="3" t="inlineStr">
        <is>
          <t>Model used</t>
        </is>
      </c>
      <c r="D42" s="3" t="n"/>
      <c r="E42" s="3" t="n"/>
    </row>
    <row r="43">
      <c r="A43" s="4" t="inlineStr">
        <is>
          <t>F10.7 107 instead of 150 (T∞ 890.2 K)</t>
        </is>
      </c>
      <c r="B43" s="12" t="n">
        <v>0.31</v>
      </c>
      <c r="C43" s="4" t="inlineStr">
        <is>
          <t>J77</t>
        </is>
      </c>
    </row>
    <row r="44">
      <c r="A44" s="4" t="inlineStr">
        <is>
          <t>T∞ − 100 K</t>
        </is>
      </c>
      <c r="B44" s="12" t="n">
        <v>0.51</v>
      </c>
      <c r="C44" s="4" t="inlineStr">
        <is>
          <t>J77</t>
        </is>
      </c>
    </row>
    <row r="45">
      <c r="A45" s="4" t="inlineStr">
        <is>
          <t>T∞ − 50 K</t>
        </is>
      </c>
      <c r="B45" s="12" t="n">
        <v>0.72</v>
      </c>
      <c r="C45" s="4" t="inlineStr">
        <is>
          <t>J77</t>
        </is>
      </c>
    </row>
    <row r="46">
      <c r="A46" s="4" t="inlineStr">
        <is>
          <t>T∞ + 50 K</t>
        </is>
      </c>
      <c r="B46" s="12" t="n">
        <v>1.36</v>
      </c>
      <c r="C46" s="4" t="inlineStr">
        <is>
          <t>J77</t>
        </is>
      </c>
    </row>
    <row r="47">
      <c r="A47" s="4" t="inlineStr">
        <is>
          <t>T∞ + 100 K</t>
        </is>
      </c>
      <c r="B47" s="12" t="n">
        <v>1.8</v>
      </c>
      <c r="C47" s="4" t="inlineStr">
        <is>
          <t>J77</t>
        </is>
      </c>
    </row>
    <row r="48">
      <c r="A48" s="4" t="inlineStr">
        <is>
          <t>Ap 7 instead of 4</t>
        </is>
      </c>
      <c r="B48" s="12" t="n">
        <v>1.08</v>
      </c>
      <c r="C48" s="4" t="inlineStr">
        <is>
          <t>NRLMSISE-00 global mean</t>
        </is>
      </c>
    </row>
    <row r="49">
      <c r="A49" s="4" t="inlineStr">
        <is>
          <t>Ap 15 instead of 4</t>
        </is>
      </c>
      <c r="B49" s="12" t="n">
        <v>1.24</v>
      </c>
      <c r="C49" s="4" t="inlineStr">
        <is>
          <t>NRLMSISE-00 global mean</t>
        </is>
      </c>
    </row>
    <row r="50">
      <c r="A50" s="4" t="inlineStr">
        <is>
          <t>Ap 27 instead of 4</t>
        </is>
      </c>
      <c r="B50" s="12" t="n">
        <v>1.39</v>
      </c>
      <c r="C50" s="4" t="inlineStr">
        <is>
          <t>NRLMSISE-00 global mean</t>
        </is>
      </c>
    </row>
    <row r="51">
      <c r="A51" s="4" t="inlineStr">
        <is>
          <t>Ap 50 instead of 4</t>
        </is>
      </c>
      <c r="B51" s="12" t="n">
        <v>1.59</v>
      </c>
      <c r="C51" s="4" t="inlineStr">
        <is>
          <t>NRLMSISE-00 global mean</t>
        </is>
      </c>
    </row>
    <row r="52">
      <c r="A52" s="4" t="inlineStr">
        <is>
          <t>Ap 100 instead of 4</t>
        </is>
      </c>
      <c r="B52" s="12" t="n">
        <v>1.97</v>
      </c>
      <c r="C52" s="4" t="inlineStr">
        <is>
          <t>NRLMSISE-00 global mean</t>
        </is>
      </c>
    </row>
    <row r="53" ht="24.6" customHeight="1">
      <c r="A53" s="4" t="inlineStr">
        <is>
          <t>15:00 against 05:00 local time at the equator</t>
        </is>
      </c>
      <c r="B53" s="12" t="n">
        <v>6.77</v>
      </c>
      <c r="C53" s="4" t="inlineStr">
        <is>
          <t>NRLMSISE-00</t>
        </is>
      </c>
    </row>
    <row r="54">
      <c r="A54" s="4" t="inlineStr">
        <is>
          <t>LTAN 18:00 orbit mean against global mean</t>
        </is>
      </c>
      <c r="B54" s="12" t="n">
        <v>0.94</v>
      </c>
      <c r="C54" s="4" t="inlineStr">
        <is>
          <t>NRLMSISE-00, 15 Sep 2026</t>
        </is>
      </c>
    </row>
    <row r="55">
      <c r="A55" s="4" t="inlineStr">
        <is>
          <t>LTAN 10:30 orbit mean against global mean</t>
        </is>
      </c>
      <c r="B55" s="12" t="n">
        <v>0.86</v>
      </c>
      <c r="C55" s="4" t="inlineStr">
        <is>
          <t>NRLMSISE-00, 15 Sep 2026</t>
        </is>
      </c>
    </row>
    <row r="56" ht="24.6" customHeight="1">
      <c r="A56" s="4" t="inlineStr">
        <is>
          <t>Highest against lowest day, Sep 2026 to Sep 2027</t>
        </is>
      </c>
      <c r="B56" s="12" t="n">
        <v>1.76</v>
      </c>
      <c r="C56" s="4" t="inlineStr">
        <is>
          <t>NRLMSISE-00 global mean, F10.7 150</t>
        </is>
      </c>
    </row>
    <row r="57" ht="24.6" customHeight="1">
      <c r="A57" s="4" t="inlineStr">
        <is>
          <t>Height |r| − Re instead of ellipsoidal, orbit average</t>
        </is>
      </c>
      <c r="B57" s="12" t="n">
        <v>1.145</v>
      </c>
      <c r="C57" s="4" t="inlineStr">
        <is>
          <t>J77, 650 km, i = 97.95°</t>
        </is>
      </c>
    </row>
    <row r="58" ht="24.6" customHeight="1">
      <c r="A58" s="4" t="inlineStr">
        <is>
          <t>Height |r| − Re instead of ellipsoidal, over the poles</t>
        </is>
      </c>
      <c r="B58" s="12" t="n">
        <v>1.32</v>
      </c>
      <c r="C58" s="4" t="inlineStr">
        <is>
          <t>J77, 650 km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tabSelected="1" zoomScaleNormal="100" workbookViewId="0">
      <selection activeCell="A1" sqref="A1"/>
    </sheetView>
  </sheetViews>
  <sheetFormatPr baseColWidth="8" defaultColWidth="8.68359375" defaultRowHeight="14.4"/>
  <cols>
    <col width="70" customWidth="1" min="1" max="1"/>
    <col width="50" customWidth="1" min="2" max="2"/>
    <col width="90" customWidth="1" min="3" max="3"/>
  </cols>
  <sheetData>
    <row r="1" ht="17.7" customHeight="1">
      <c r="A1" s="1" t="inlineStr">
        <is>
          <t>Sources</t>
        </is>
      </c>
    </row>
    <row r="3">
      <c r="A3" s="3" t="inlineStr">
        <is>
          <t>Source</t>
        </is>
      </c>
      <c r="B3" s="3" t="inlineStr">
        <is>
          <t>Used for</t>
        </is>
      </c>
      <c r="C3" s="3" t="inlineStr">
        <is>
          <t>Link</t>
        </is>
      </c>
    </row>
    <row r="4" ht="24.6" customHeight="1">
      <c r="A4" s="4" t="inlineStr">
        <is>
          <t>L. G. Jacchia, Thermospheric Temperature, Density, and Composition: New Models, SAO Special Report 375, 1977</t>
        </is>
      </c>
      <c r="B4" s="4" t="inlineStr">
        <is>
          <t>T∞ relation (eq. 20, Table 5), temperature profile (Table 2), boundary conditions, validity range</t>
        </is>
      </c>
      <c r="C4" s="4" t="inlineStr">
        <is>
          <t>https://ntrs.nasa.gov/api/citations/19770016704/downloads/19770016704.pdf</t>
        </is>
      </c>
    </row>
    <row r="5" ht="24.6" customHeight="1">
      <c r="A5" s="4" t="inlineStr">
        <is>
          <t>M. Mahooti, Standard Jacchia Reference Atmosphere 1977, MATLAB File Exchange 54912, v1.0.0 (BSD licence)</t>
        </is>
      </c>
      <c r="B5" s="4" t="inlineStr">
        <is>
          <t>j77sri.m and its reference output</t>
        </is>
      </c>
      <c r="C5" s="4" t="inlineStr">
        <is>
          <t>https://www.mathworks.com/matlabcentral/fileexchange/54912-standard-jacchia-reference-atmosphere-1977</t>
        </is>
      </c>
    </row>
    <row r="6" ht="24.6" customHeight="1">
      <c r="A6" s="4" t="inlineStr">
        <is>
          <t>D. L. Huestis, Jacchia 1977 Atmospheric Model, SRI International, 1999 to 2002 (original of j77sri.m, all rights reserved, provided as is)</t>
        </is>
      </c>
      <c r="B6" s="4" t="inlineStr">
        <is>
          <t>Origin and copyright of j77sri.m</t>
        </is>
      </c>
      <c r="C6" s="4" t="inlineStr">
        <is>
          <t>http://www-mpl.sri.com/software/jacchia77/jacchia77.html</t>
        </is>
      </c>
    </row>
    <row r="7">
      <c r="A7" s="4" t="inlineStr">
        <is>
          <t>NRLMSISE-00 through MATLAB atmosnrlmsise00 (Aerospace Toolbox) and pymsis 0.13</t>
        </is>
      </c>
      <c r="B7" s="4" t="inlineStr">
        <is>
          <t>Density comparison and sensitivity estimates</t>
        </is>
      </c>
      <c r="C7" s="4" t="inlineStr">
        <is>
          <t>https://swxtrec.github.io/pymsis/</t>
        </is>
      </c>
    </row>
    <row r="8">
      <c r="A8" s="4" t="inlineStr">
        <is>
          <t>CubeSat Design Specification Rev. 14.1, Cal Poly, 2022, Table 1</t>
        </is>
      </c>
      <c r="B8" s="4" t="inlineStr">
        <is>
          <t>6U typical maximum mass of 12 kg</t>
        </is>
      </c>
      <c r="C8" s="4" t="inlineStr">
        <is>
          <t>https://www.nasa.gov/wp-content/uploads/2018/01/cubesatdesignspecificationrev14_12022-02-09.pdf</t>
        </is>
      </c>
    </row>
    <row r="9" ht="24.6" customHeight="1">
      <c r="A9" s="4" t="inlineStr">
        <is>
          <t>validation/results: numericalCrossCheck_365d.txt, dragCheck_30d.txt and dragCheck_365d.txt</t>
        </is>
      </c>
      <c r="B9" s="4" t="inlineStr">
        <is>
          <t>Year-long high-fidelity comparison and the checks in this workbook</t>
        </is>
      </c>
      <c r="C9" s="4" t="inlineStr">
        <is>
          <t>Local files in validation/results</t>
        </is>
      </c>
    </row>
  </sheetData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2026-10-19T17:11:24Z</dcterms:created>
  <dcterms:modified xmlns:dcterms="http://purl.org/dc/terms/" xmlns:xsi="http://www.w3.org/2001/XMLSchema-instance" xsi:type="dcterms:W3CDTF">2026-10-28T17:35:18Z</dcterms:modified>
  <cp:lastModifiedBy>Alessandro Valente</cp:lastModifiedBy>
  <cp:revision>0</cp:revision>
</cp:coreProperties>
</file>